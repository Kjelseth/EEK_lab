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_tec/Git/EEK_lab/Lab06/Data/"/>
    </mc:Choice>
  </mc:AlternateContent>
  <xr:revisionPtr revIDLastSave="0" documentId="13_ncr:1_{EE327446-798D-F644-932E-1F2DCBEBBFBA}" xr6:coauthVersionLast="47" xr6:coauthVersionMax="47" xr10:uidLastSave="{00000000-0000-0000-0000-000000000000}"/>
  <bookViews>
    <workbookView xWindow="20560" yWindow="800" windowWidth="20560" windowHeight="24140" xr2:uid="{2D9BB097-BA8F-D54D-A2F7-97E7F53D8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B63" i="1"/>
  <c r="B13" i="1"/>
  <c r="B12" i="1"/>
  <c r="B14" i="1" s="1"/>
  <c r="B71" i="1"/>
  <c r="B68" i="1"/>
  <c r="B66" i="1"/>
  <c r="B56" i="1"/>
  <c r="B53" i="1"/>
  <c r="B48" i="1"/>
  <c r="B45" i="1"/>
  <c r="B42" i="1"/>
  <c r="B39" i="1"/>
  <c r="B36" i="1"/>
  <c r="B33" i="1"/>
  <c r="B23" i="1"/>
  <c r="B30" i="1"/>
  <c r="B27" i="1"/>
  <c r="B22" i="1" l="1"/>
  <c r="B24" i="1" s="1"/>
  <c r="B11" i="1"/>
  <c r="B15" i="1" s="1"/>
</calcChain>
</file>

<file path=xl/sharedStrings.xml><?xml version="1.0" encoding="utf-8"?>
<sst xmlns="http://schemas.openxmlformats.org/spreadsheetml/2006/main" count="119" uniqueCount="60">
  <si>
    <t>settings generator</t>
  </si>
  <si>
    <t>5V p-p</t>
  </si>
  <si>
    <t>10kHz</t>
  </si>
  <si>
    <t>25% duty cycle</t>
  </si>
  <si>
    <t>Scope</t>
  </si>
  <si>
    <t>Vo p-p</t>
  </si>
  <si>
    <t>V</t>
  </si>
  <si>
    <t>us</t>
  </si>
  <si>
    <t>Vo rise time</t>
  </si>
  <si>
    <t>delta t avg</t>
  </si>
  <si>
    <t>Delta V</t>
  </si>
  <si>
    <t>SR = Delta V / Delta t</t>
  </si>
  <si>
    <t>V/us</t>
  </si>
  <si>
    <t>Part 1:</t>
  </si>
  <si>
    <t>Part2:</t>
  </si>
  <si>
    <t>V in RMS</t>
  </si>
  <si>
    <t>V out RMS</t>
  </si>
  <si>
    <t>Multimeter</t>
  </si>
  <si>
    <t>A(cm)</t>
  </si>
  <si>
    <t>A(dif)</t>
  </si>
  <si>
    <t>A(cm) = V out/ Vin</t>
  </si>
  <si>
    <t>Ideal values</t>
  </si>
  <si>
    <t>A(dif) = R1/R2</t>
  </si>
  <si>
    <t>CMR</t>
  </si>
  <si>
    <t>dB</t>
  </si>
  <si>
    <t>Part3:</t>
  </si>
  <si>
    <t>Av calc</t>
  </si>
  <si>
    <t>Av = - Rf/Ri</t>
  </si>
  <si>
    <t>Rf 100k, Ri 22k</t>
  </si>
  <si>
    <t>Vi</t>
  </si>
  <si>
    <t>Vo</t>
  </si>
  <si>
    <t>Av meas</t>
  </si>
  <si>
    <t>Av = Vo/Vi</t>
  </si>
  <si>
    <t>Part4:</t>
  </si>
  <si>
    <t>Av = -Vo/Vi</t>
  </si>
  <si>
    <t>With 100k Ri:</t>
  </si>
  <si>
    <t>Av = 1 + Rf/Rg</t>
  </si>
  <si>
    <t>Rf 100k, Rg 22k</t>
  </si>
  <si>
    <t>With 100k Rg:</t>
  </si>
  <si>
    <t>Part5:</t>
  </si>
  <si>
    <t>Part6:</t>
  </si>
  <si>
    <t>Vo = V1*(Rf/R1) + V2*(Rf/R2)</t>
  </si>
  <si>
    <t>V1 = V2 = 1V</t>
  </si>
  <si>
    <t>kohm</t>
  </si>
  <si>
    <t>Rf 100k R1 100k R2 22k</t>
  </si>
  <si>
    <t>With R2 100k</t>
  </si>
  <si>
    <t>Vo calc R meas</t>
  </si>
  <si>
    <t>Vo calc R+V meas</t>
  </si>
  <si>
    <t>Vo calc ideal</t>
  </si>
  <si>
    <t>Vi meas</t>
  </si>
  <si>
    <t>Vo meas</t>
  </si>
  <si>
    <t>R2 meas</t>
  </si>
  <si>
    <t>Rf meas</t>
  </si>
  <si>
    <t>R1 meas</t>
  </si>
  <si>
    <t>SR avg</t>
  </si>
  <si>
    <t xml:space="preserve">SR fall </t>
  </si>
  <si>
    <t>Vo fall time</t>
  </si>
  <si>
    <t>SR rise</t>
  </si>
  <si>
    <t>SR avg time</t>
  </si>
  <si>
    <t>1/4R1C (R2/R3)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</si>
</sst>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CB8B-3EB5-A34A-93F0-61754F45EAFF}">
  <dimension ref="A2:G71"/>
  <sheetViews>
    <sheetView tabSelected="1" topLeftCell="A51" zoomScale="171" workbookViewId="0">
      <selection activeCell="B61" sqref="B61"/>
    </sheetView>
  </sheetViews>
  <sheetFormatPr baseColWidth="10" defaultRowHeight="16" x14ac:dyDescent="0.2"/>
  <cols>
    <col min="1" max="1" width="16.83203125" customWidth="1"/>
    <col min="2" max="2" width="15.1640625" customWidth="1"/>
    <col min="4" max="4" width="19.1640625" customWidth="1"/>
  </cols>
  <sheetData>
    <row r="2" spans="1:6" x14ac:dyDescent="0.2">
      <c r="A2" t="s">
        <v>13</v>
      </c>
    </row>
    <row r="3" spans="1:6" x14ac:dyDescent="0.2">
      <c r="A3" t="s">
        <v>0</v>
      </c>
    </row>
    <row r="4" spans="1:6" x14ac:dyDescent="0.2">
      <c r="A4" t="s">
        <v>1</v>
      </c>
    </row>
    <row r="5" spans="1:6" x14ac:dyDescent="0.2">
      <c r="A5" t="s">
        <v>2</v>
      </c>
    </row>
    <row r="6" spans="1:6" x14ac:dyDescent="0.2">
      <c r="A6" t="s">
        <v>3</v>
      </c>
    </row>
    <row r="8" spans="1:6" x14ac:dyDescent="0.2">
      <c r="A8" t="s">
        <v>10</v>
      </c>
      <c r="B8">
        <v>5.15</v>
      </c>
      <c r="C8" t="s">
        <v>6</v>
      </c>
      <c r="D8" t="s">
        <v>5</v>
      </c>
    </row>
    <row r="9" spans="1:6" x14ac:dyDescent="0.2">
      <c r="A9" t="s">
        <v>56</v>
      </c>
      <c r="B9">
        <v>6.2080000000000002</v>
      </c>
      <c r="C9" t="s">
        <v>7</v>
      </c>
    </row>
    <row r="10" spans="1:6" x14ac:dyDescent="0.2">
      <c r="A10" t="s">
        <v>8</v>
      </c>
      <c r="B10">
        <v>8.3979999999999997</v>
      </c>
      <c r="C10" t="s">
        <v>7</v>
      </c>
      <c r="F10" t="s">
        <v>59</v>
      </c>
    </row>
    <row r="11" spans="1:6" x14ac:dyDescent="0.2">
      <c r="A11" t="s">
        <v>9</v>
      </c>
      <c r="B11">
        <f>(B9+B10)/2</f>
        <v>7.3029999999999999</v>
      </c>
      <c r="C11" t="s">
        <v>7</v>
      </c>
    </row>
    <row r="12" spans="1:6" x14ac:dyDescent="0.2">
      <c r="A12" t="s">
        <v>55</v>
      </c>
      <c r="B12">
        <f>B8/B9</f>
        <v>0.82957474226804129</v>
      </c>
      <c r="C12" t="s">
        <v>12</v>
      </c>
      <c r="D12" t="s">
        <v>11</v>
      </c>
    </row>
    <row r="13" spans="1:6" x14ac:dyDescent="0.2">
      <c r="A13" t="s">
        <v>57</v>
      </c>
      <c r="B13">
        <f>B8/B10</f>
        <v>0.61324124791617063</v>
      </c>
      <c r="C13" t="s">
        <v>12</v>
      </c>
    </row>
    <row r="14" spans="1:6" x14ac:dyDescent="0.2">
      <c r="A14" t="s">
        <v>54</v>
      </c>
      <c r="B14">
        <f>(B12+B13)/2</f>
        <v>0.72140799509210596</v>
      </c>
      <c r="C14" t="s">
        <v>12</v>
      </c>
    </row>
    <row r="15" spans="1:6" x14ac:dyDescent="0.2">
      <c r="A15" t="s">
        <v>58</v>
      </c>
      <c r="B15">
        <f>B8/B11</f>
        <v>0.7051896480898262</v>
      </c>
      <c r="C15" t="s">
        <v>12</v>
      </c>
    </row>
    <row r="17" spans="1:5" x14ac:dyDescent="0.2">
      <c r="A17" t="s">
        <v>14</v>
      </c>
    </row>
    <row r="18" spans="1:5" x14ac:dyDescent="0.2">
      <c r="A18" t="s">
        <v>15</v>
      </c>
      <c r="B18">
        <v>4.2949999999999999</v>
      </c>
      <c r="C18" t="s">
        <v>6</v>
      </c>
      <c r="D18" t="s">
        <v>4</v>
      </c>
    </row>
    <row r="19" spans="1:5" x14ac:dyDescent="0.2">
      <c r="A19" t="s">
        <v>16</v>
      </c>
      <c r="B19">
        <v>0.81399999999999995</v>
      </c>
      <c r="C19" t="s">
        <v>6</v>
      </c>
      <c r="D19" t="s">
        <v>4</v>
      </c>
    </row>
    <row r="20" spans="1:5" x14ac:dyDescent="0.2">
      <c r="A20" t="s">
        <v>15</v>
      </c>
      <c r="B20">
        <v>4.3</v>
      </c>
      <c r="C20" t="s">
        <v>6</v>
      </c>
      <c r="D20" t="s">
        <v>17</v>
      </c>
    </row>
    <row r="21" spans="1:5" x14ac:dyDescent="0.2">
      <c r="A21" t="s">
        <v>16</v>
      </c>
      <c r="B21">
        <v>0.81399999999999995</v>
      </c>
      <c r="C21" t="s">
        <v>6</v>
      </c>
      <c r="D21" t="s">
        <v>17</v>
      </c>
    </row>
    <row r="22" spans="1:5" x14ac:dyDescent="0.2">
      <c r="A22" t="s">
        <v>18</v>
      </c>
      <c r="B22">
        <f>B19/B18</f>
        <v>0.18952270081490105</v>
      </c>
      <c r="D22" t="s">
        <v>4</v>
      </c>
      <c r="E22" t="s">
        <v>20</v>
      </c>
    </row>
    <row r="23" spans="1:5" x14ac:dyDescent="0.2">
      <c r="A23" t="s">
        <v>19</v>
      </c>
      <c r="B23">
        <f>(100*10^3)/100</f>
        <v>1000</v>
      </c>
      <c r="D23" t="s">
        <v>21</v>
      </c>
      <c r="E23" t="s">
        <v>22</v>
      </c>
    </row>
    <row r="24" spans="1:5" x14ac:dyDescent="0.2">
      <c r="A24" t="s">
        <v>23</v>
      </c>
      <c r="B24">
        <f>20*LOG(B23/B22)</f>
        <v>74.4467752655612</v>
      </c>
      <c r="C24" t="s">
        <v>24</v>
      </c>
    </row>
    <row r="26" spans="1:5" x14ac:dyDescent="0.2">
      <c r="A26" t="s">
        <v>25</v>
      </c>
    </row>
    <row r="27" spans="1:5" x14ac:dyDescent="0.2">
      <c r="A27" t="s">
        <v>26</v>
      </c>
      <c r="B27">
        <f>-(100*10^3)/(22*10^3)</f>
        <v>-4.5454545454545459</v>
      </c>
      <c r="D27" t="s">
        <v>27</v>
      </c>
      <c r="E27" t="s">
        <v>28</v>
      </c>
    </row>
    <row r="28" spans="1:5" x14ac:dyDescent="0.2">
      <c r="A28" t="s">
        <v>29</v>
      </c>
      <c r="B28">
        <v>1.0074000000000001</v>
      </c>
      <c r="C28" t="s">
        <v>6</v>
      </c>
    </row>
    <row r="29" spans="1:5" x14ac:dyDescent="0.2">
      <c r="A29" t="s">
        <v>30</v>
      </c>
      <c r="B29">
        <v>4.508</v>
      </c>
      <c r="C29" t="s">
        <v>6</v>
      </c>
    </row>
    <row r="30" spans="1:5" x14ac:dyDescent="0.2">
      <c r="A30" t="s">
        <v>31</v>
      </c>
      <c r="B30">
        <f>-B29/B28</f>
        <v>-4.474885844748858</v>
      </c>
      <c r="D30" t="s">
        <v>34</v>
      </c>
    </row>
    <row r="32" spans="1:5" x14ac:dyDescent="0.2">
      <c r="A32" t="s">
        <v>35</v>
      </c>
    </row>
    <row r="33" spans="1:5" x14ac:dyDescent="0.2">
      <c r="A33" t="s">
        <v>26</v>
      </c>
      <c r="B33">
        <f>-(100*10^3)/(100*10^3)</f>
        <v>-1</v>
      </c>
    </row>
    <row r="34" spans="1:5" x14ac:dyDescent="0.2">
      <c r="A34" t="s">
        <v>29</v>
      </c>
      <c r="B34">
        <v>1.0067999999999999</v>
      </c>
      <c r="C34" t="s">
        <v>6</v>
      </c>
    </row>
    <row r="35" spans="1:5" x14ac:dyDescent="0.2">
      <c r="A35" t="s">
        <v>30</v>
      </c>
      <c r="B35">
        <v>1.0074000000000001</v>
      </c>
      <c r="C35" t="s">
        <v>6</v>
      </c>
    </row>
    <row r="36" spans="1:5" x14ac:dyDescent="0.2">
      <c r="A36" t="s">
        <v>31</v>
      </c>
      <c r="B36">
        <f>-B35/B34</f>
        <v>-1.0005959475566151</v>
      </c>
    </row>
    <row r="38" spans="1:5" x14ac:dyDescent="0.2">
      <c r="A38" t="s">
        <v>33</v>
      </c>
    </row>
    <row r="39" spans="1:5" x14ac:dyDescent="0.2">
      <c r="A39" t="s">
        <v>26</v>
      </c>
      <c r="B39">
        <f>1+(100*10^3)/(22*10^3)</f>
        <v>5.5454545454545459</v>
      </c>
      <c r="D39" t="s">
        <v>36</v>
      </c>
      <c r="E39" t="s">
        <v>37</v>
      </c>
    </row>
    <row r="40" spans="1:5" x14ac:dyDescent="0.2">
      <c r="A40" t="s">
        <v>29</v>
      </c>
      <c r="B40">
        <v>1.0045999999999999</v>
      </c>
      <c r="C40" t="s">
        <v>6</v>
      </c>
    </row>
    <row r="41" spans="1:5" x14ac:dyDescent="0.2">
      <c r="A41" t="s">
        <v>30</v>
      </c>
      <c r="B41">
        <v>5.4640000000000004</v>
      </c>
      <c r="C41" t="s">
        <v>6</v>
      </c>
    </row>
    <row r="42" spans="1:5" x14ac:dyDescent="0.2">
      <c r="A42" t="s">
        <v>31</v>
      </c>
      <c r="B42">
        <f>B41/B40</f>
        <v>5.4389806888313768</v>
      </c>
      <c r="D42" t="s">
        <v>32</v>
      </c>
    </row>
    <row r="44" spans="1:5" x14ac:dyDescent="0.2">
      <c r="A44" t="s">
        <v>38</v>
      </c>
    </row>
    <row r="45" spans="1:5" x14ac:dyDescent="0.2">
      <c r="A45" t="s">
        <v>26</v>
      </c>
      <c r="B45">
        <f>1+(100*10^3)/(100*10^3)</f>
        <v>2</v>
      </c>
    </row>
    <row r="46" spans="1:5" x14ac:dyDescent="0.2">
      <c r="A46" t="s">
        <v>29</v>
      </c>
      <c r="B46">
        <v>1.0073000000000001</v>
      </c>
      <c r="C46" t="s">
        <v>6</v>
      </c>
    </row>
    <row r="47" spans="1:5" x14ac:dyDescent="0.2">
      <c r="A47" t="s">
        <v>30</v>
      </c>
      <c r="B47">
        <v>2.016</v>
      </c>
      <c r="C47" t="s">
        <v>6</v>
      </c>
    </row>
    <row r="48" spans="1:5" x14ac:dyDescent="0.2">
      <c r="A48" t="s">
        <v>31</v>
      </c>
      <c r="B48">
        <f>B47/B46</f>
        <v>2.001389854065323</v>
      </c>
    </row>
    <row r="50" spans="1:7" x14ac:dyDescent="0.2">
      <c r="A50" t="s">
        <v>39</v>
      </c>
    </row>
    <row r="51" spans="1:7" x14ac:dyDescent="0.2">
      <c r="A51" t="s">
        <v>29</v>
      </c>
      <c r="B51">
        <v>2.0118999999999998</v>
      </c>
      <c r="C51" t="s">
        <v>6</v>
      </c>
    </row>
    <row r="52" spans="1:7" x14ac:dyDescent="0.2">
      <c r="A52" t="s">
        <v>30</v>
      </c>
      <c r="B52">
        <v>2.0116000000000001</v>
      </c>
      <c r="C52" t="s">
        <v>6</v>
      </c>
    </row>
    <row r="53" spans="1:7" x14ac:dyDescent="0.2">
      <c r="A53" t="s">
        <v>31</v>
      </c>
      <c r="B53">
        <f>B52/B51</f>
        <v>0.99985088722103499</v>
      </c>
      <c r="D53" t="s">
        <v>32</v>
      </c>
    </row>
    <row r="55" spans="1:7" x14ac:dyDescent="0.2">
      <c r="A55" t="s">
        <v>40</v>
      </c>
    </row>
    <row r="56" spans="1:7" x14ac:dyDescent="0.2">
      <c r="A56" t="s">
        <v>48</v>
      </c>
      <c r="B56">
        <f>1*((100*10^3)/(100*10^3))+1*((100*10^3)/(22*10^3))</f>
        <v>5.5454545454545459</v>
      </c>
      <c r="C56" t="s">
        <v>6</v>
      </c>
      <c r="D56" t="s">
        <v>41</v>
      </c>
      <c r="F56" t="s">
        <v>42</v>
      </c>
      <c r="G56" t="s">
        <v>44</v>
      </c>
    </row>
    <row r="57" spans="1:7" x14ac:dyDescent="0.2">
      <c r="A57" t="s">
        <v>52</v>
      </c>
      <c r="B57">
        <v>99.8</v>
      </c>
      <c r="C57" t="s">
        <v>43</v>
      </c>
    </row>
    <row r="58" spans="1:7" x14ac:dyDescent="0.2">
      <c r="A58" t="s">
        <v>53</v>
      </c>
      <c r="B58">
        <v>100.03</v>
      </c>
      <c r="C58" t="s">
        <v>43</v>
      </c>
    </row>
    <row r="59" spans="1:7" x14ac:dyDescent="0.2">
      <c r="A59" t="s">
        <v>51</v>
      </c>
      <c r="B59">
        <v>22.117999999999999</v>
      </c>
      <c r="C59" t="s">
        <v>43</v>
      </c>
    </row>
    <row r="60" spans="1:7" x14ac:dyDescent="0.2">
      <c r="A60" t="s">
        <v>46</v>
      </c>
      <c r="B60">
        <f>1*(B57/B58)+1*(B58/B59)</f>
        <v>5.5202614999928992</v>
      </c>
      <c r="C60" t="s">
        <v>6</v>
      </c>
    </row>
    <row r="61" spans="1:7" x14ac:dyDescent="0.2">
      <c r="A61" t="s">
        <v>49</v>
      </c>
      <c r="B61">
        <v>1.0061</v>
      </c>
      <c r="C61" t="s">
        <v>6</v>
      </c>
    </row>
    <row r="62" spans="1:7" x14ac:dyDescent="0.2">
      <c r="A62" t="s">
        <v>50</v>
      </c>
      <c r="B62">
        <v>5.4260000000000002</v>
      </c>
      <c r="C62" t="s">
        <v>6</v>
      </c>
    </row>
    <row r="63" spans="1:7" x14ac:dyDescent="0.2">
      <c r="A63" t="s">
        <v>47</v>
      </c>
      <c r="B63">
        <f>B61*(B57/B58)+B61*(B57/B59)</f>
        <v>5.5434728924120487</v>
      </c>
      <c r="C63" t="s">
        <v>6</v>
      </c>
    </row>
    <row r="65" spans="1:3" x14ac:dyDescent="0.2">
      <c r="A65" t="s">
        <v>45</v>
      </c>
    </row>
    <row r="66" spans="1:3" x14ac:dyDescent="0.2">
      <c r="A66" t="s">
        <v>48</v>
      </c>
      <c r="B66">
        <f>1*((100*10^3)/(100*10^3))+1*((100*10^3)/(100*10^3))</f>
        <v>2</v>
      </c>
      <c r="C66" t="s">
        <v>6</v>
      </c>
    </row>
    <row r="67" spans="1:3" x14ac:dyDescent="0.2">
      <c r="A67" t="s">
        <v>51</v>
      </c>
      <c r="B67">
        <v>99.87</v>
      </c>
      <c r="C67" t="s">
        <v>43</v>
      </c>
    </row>
    <row r="68" spans="1:3" x14ac:dyDescent="0.2">
      <c r="A68" t="s">
        <v>46</v>
      </c>
      <c r="B68">
        <f>1*(B57/B58)+1*(B57/B67)</f>
        <v>1.9969997786085221</v>
      </c>
      <c r="C68" t="s">
        <v>6</v>
      </c>
    </row>
    <row r="69" spans="1:3" x14ac:dyDescent="0.2">
      <c r="A69" t="s">
        <v>49</v>
      </c>
      <c r="B69">
        <v>1.0079</v>
      </c>
      <c r="C69" t="s">
        <v>6</v>
      </c>
    </row>
    <row r="70" spans="1:3" x14ac:dyDescent="0.2">
      <c r="A70" t="s">
        <v>50</v>
      </c>
      <c r="B70">
        <v>2.0112999999999999</v>
      </c>
      <c r="C70" t="s">
        <v>6</v>
      </c>
    </row>
    <row r="71" spans="1:3" x14ac:dyDescent="0.2">
      <c r="A71" t="s">
        <v>47</v>
      </c>
      <c r="B71">
        <f>B69*(B57/B58)+B69*(B57/B67)</f>
        <v>2.0127760768595295</v>
      </c>
      <c r="C71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Sølve Kjelseth</dc:creator>
  <cp:lastModifiedBy>Sølve Kjelseth</cp:lastModifiedBy>
  <dcterms:created xsi:type="dcterms:W3CDTF">2025-10-14T12:55:05Z</dcterms:created>
  <dcterms:modified xsi:type="dcterms:W3CDTF">2025-10-22T06:22:38Z</dcterms:modified>
</cp:coreProperties>
</file>