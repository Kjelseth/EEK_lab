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_tec/Git/EEK_lab/Lab04/Data/"/>
    </mc:Choice>
  </mc:AlternateContent>
  <xr:revisionPtr revIDLastSave="0" documentId="13_ncr:1_{C5C6D034-753B-0A42-A639-FCC2B127C5AE}" xr6:coauthVersionLast="47" xr6:coauthVersionMax="47" xr10:uidLastSave="{00000000-0000-0000-0000-000000000000}"/>
  <bookViews>
    <workbookView xWindow="10260" yWindow="800" windowWidth="20580" windowHeight="24140" xr2:uid="{8B18A92B-45BE-2647-98DB-1FAE42B77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  <c r="B94" i="1"/>
  <c r="B93" i="1"/>
  <c r="B71" i="1"/>
  <c r="B67" i="1"/>
  <c r="B72" i="1"/>
  <c r="B70" i="1"/>
  <c r="B68" i="1"/>
  <c r="B66" i="1"/>
  <c r="B48" i="1"/>
  <c r="B44" i="1"/>
  <c r="B10" i="1"/>
  <c r="B11" i="1" s="1"/>
  <c r="B89" i="1"/>
  <c r="B88" i="1"/>
  <c r="B86" i="1"/>
  <c r="B62" i="1"/>
  <c r="B34" i="1"/>
  <c r="B56" i="1" s="1"/>
  <c r="B21" i="1"/>
  <c r="B22" i="1" s="1"/>
  <c r="B27" i="1"/>
  <c r="B16" i="1"/>
  <c r="B90" i="1" l="1"/>
  <c r="B17" i="1"/>
  <c r="B78" i="1" s="1"/>
  <c r="B79" i="1" s="1"/>
  <c r="B28" i="1"/>
  <c r="B76" i="1" s="1"/>
  <c r="B77" i="1" s="1"/>
  <c r="B80" i="1" l="1"/>
</calcChain>
</file>

<file path=xl/sharedStrings.xml><?xml version="1.0" encoding="utf-8"?>
<sst xmlns="http://schemas.openxmlformats.org/spreadsheetml/2006/main" count="156" uniqueCount="70">
  <si>
    <t>Part1:</t>
  </si>
  <si>
    <t>ohm</t>
  </si>
  <si>
    <t>RD 510</t>
  </si>
  <si>
    <t>RS 1k</t>
  </si>
  <si>
    <t>a)</t>
  </si>
  <si>
    <t>VD meas</t>
  </si>
  <si>
    <t>V</t>
  </si>
  <si>
    <t>VDD meas</t>
  </si>
  <si>
    <t>ID calc</t>
  </si>
  <si>
    <t>A</t>
  </si>
  <si>
    <t>ID = (VDD-VD)/RD</t>
  </si>
  <si>
    <t>IDSS = ID</t>
  </si>
  <si>
    <t>b)</t>
  </si>
  <si>
    <t>VGS meas</t>
  </si>
  <si>
    <t>VD</t>
  </si>
  <si>
    <t>ID</t>
  </si>
  <si>
    <t>Same as above</t>
  </si>
  <si>
    <t>VGS off calc</t>
  </si>
  <si>
    <t>IDSS calc</t>
  </si>
  <si>
    <t>VGSoff = VGS/(1-sqrt(ID/IDSS))</t>
  </si>
  <si>
    <t>The following measurements are made for two transistors, Q1 and Q2</t>
  </si>
  <si>
    <t>a) Q1</t>
  </si>
  <si>
    <t>b) Q1</t>
  </si>
  <si>
    <t>a) Q2</t>
  </si>
  <si>
    <t>b) Q2</t>
  </si>
  <si>
    <t>Part 2</t>
  </si>
  <si>
    <t>RG1 1M</t>
  </si>
  <si>
    <t>RG2 1M</t>
  </si>
  <si>
    <t>RS1 510</t>
  </si>
  <si>
    <t>RL 10k</t>
  </si>
  <si>
    <t>RS2 510</t>
  </si>
  <si>
    <t>2k4 unavailable, 2k2 used</t>
  </si>
  <si>
    <t>RD1 2k2</t>
  </si>
  <si>
    <t>RD2 2k2</t>
  </si>
  <si>
    <t>Q1</t>
  </si>
  <si>
    <t>VGS</t>
  </si>
  <si>
    <t>Q2</t>
  </si>
  <si>
    <t>Solved equations using CAS and measured values for each Q, this gives two solutions for each Q but one is outside VGSoff so is not used</t>
  </si>
  <si>
    <t>VD = VDD - (ID*RD)</t>
  </si>
  <si>
    <t>Measured values</t>
  </si>
  <si>
    <t>VG</t>
  </si>
  <si>
    <t>VS</t>
  </si>
  <si>
    <t>ID = VS/RS</t>
  </si>
  <si>
    <t>Part 3</t>
  </si>
  <si>
    <t>gm = ((2*IDSS)/|VGSoff|)*(1-VGS/VGSoff)</t>
  </si>
  <si>
    <t>Av2</t>
  </si>
  <si>
    <t>gm2</t>
  </si>
  <si>
    <t>gm1</t>
  </si>
  <si>
    <t>same as above</t>
  </si>
  <si>
    <t>Av1</t>
  </si>
  <si>
    <t>Av2 = gm2(1/RD2+1/RL)^-1</t>
  </si>
  <si>
    <t>Av1 = gm1(1/RD1+1/RG2+1/RIN)^-1 as RIN is extremly high it is removed from the equation</t>
  </si>
  <si>
    <t>S</t>
  </si>
  <si>
    <t>---</t>
  </si>
  <si>
    <t>Av</t>
  </si>
  <si>
    <t>Av = Av1*Av2</t>
  </si>
  <si>
    <t>Vsig</t>
  </si>
  <si>
    <t>VRL</t>
  </si>
  <si>
    <t>Av = VRL/Vsig</t>
  </si>
  <si>
    <t>Vo1</t>
  </si>
  <si>
    <t>Vsig applied</t>
  </si>
  <si>
    <t>mV</t>
  </si>
  <si>
    <t>Av1 = Vo1/Vsig</t>
  </si>
  <si>
    <t>Av2 = VRL/Vo1</t>
  </si>
  <si>
    <t>Av = Av1 * Av2</t>
  </si>
  <si>
    <t>{{I_{D1} = 0.002449451023818, V_{GS1} = -1.245594834632}, {I_{D1} = 0.01473946603622, V_{GS1} = -7.495313268736}}</t>
  </si>
  <si>
    <t>{{I_{D2} = 0.002555761292211, V_{GS2} = -1.296921067733}, {I_{D2} = 0.0141054336904, V_{GS2} = -7.157802326193}}</t>
  </si>
  <si>
    <t>VDD 20V</t>
  </si>
  <si>
    <t>Difference %</t>
  </si>
  <si>
    <t>difference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</si>
</sst>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quotePrefix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893E-9433-824B-8FC5-F5D257C12A0C}">
  <dimension ref="A1:D95"/>
  <sheetViews>
    <sheetView tabSelected="1" topLeftCell="A70" zoomScale="142" workbookViewId="0">
      <selection activeCell="D79" sqref="D79"/>
    </sheetView>
  </sheetViews>
  <sheetFormatPr baseColWidth="10" defaultRowHeight="16" x14ac:dyDescent="0.2"/>
  <cols>
    <col min="1" max="1" width="18.5" customWidth="1"/>
    <col min="2" max="2" width="14.83203125" customWidth="1"/>
  </cols>
  <sheetData>
    <row r="1" spans="1:4" x14ac:dyDescent="0.2">
      <c r="A1" t="s">
        <v>0</v>
      </c>
    </row>
    <row r="2" spans="1:4" x14ac:dyDescent="0.2">
      <c r="A2" t="s">
        <v>2</v>
      </c>
      <c r="B2">
        <v>508.52</v>
      </c>
      <c r="C2" t="s">
        <v>1</v>
      </c>
    </row>
    <row r="3" spans="1:4" x14ac:dyDescent="0.2">
      <c r="A3" t="s">
        <v>3</v>
      </c>
      <c r="B3">
        <v>981.9</v>
      </c>
      <c r="C3" t="s">
        <v>1</v>
      </c>
    </row>
    <row r="5" spans="1:4" x14ac:dyDescent="0.2">
      <c r="A5" t="s">
        <v>20</v>
      </c>
    </row>
    <row r="6" spans="1:4" x14ac:dyDescent="0.2">
      <c r="A6" t="s">
        <v>7</v>
      </c>
      <c r="B6">
        <v>10.029999999999999</v>
      </c>
      <c r="C6" t="s">
        <v>6</v>
      </c>
    </row>
    <row r="8" spans="1:4" x14ac:dyDescent="0.2">
      <c r="A8" t="s">
        <v>21</v>
      </c>
    </row>
    <row r="9" spans="1:4" x14ac:dyDescent="0.2">
      <c r="A9" t="s">
        <v>5</v>
      </c>
      <c r="B9">
        <v>6.48</v>
      </c>
      <c r="C9" t="s">
        <v>6</v>
      </c>
    </row>
    <row r="10" spans="1:4" x14ac:dyDescent="0.2">
      <c r="A10" t="s">
        <v>8</v>
      </c>
      <c r="B10">
        <f>(B6-B9)/B2</f>
        <v>6.9810430268229355E-3</v>
      </c>
      <c r="C10" t="s">
        <v>9</v>
      </c>
      <c r="D10" t="s">
        <v>10</v>
      </c>
    </row>
    <row r="11" spans="1:4" x14ac:dyDescent="0.2">
      <c r="A11" t="s">
        <v>18</v>
      </c>
      <c r="B11">
        <f>B10</f>
        <v>6.9810430268229355E-3</v>
      </c>
      <c r="C11" t="s">
        <v>9</v>
      </c>
      <c r="D11" t="s">
        <v>11</v>
      </c>
    </row>
    <row r="13" spans="1:4" x14ac:dyDescent="0.2">
      <c r="A13" t="s">
        <v>22</v>
      </c>
    </row>
    <row r="14" spans="1:4" x14ac:dyDescent="0.2">
      <c r="A14" t="s">
        <v>13</v>
      </c>
      <c r="B14">
        <v>-1.587</v>
      </c>
      <c r="C14" t="s">
        <v>6</v>
      </c>
    </row>
    <row r="15" spans="1:4" x14ac:dyDescent="0.2">
      <c r="A15" t="s">
        <v>5</v>
      </c>
      <c r="B15">
        <v>9.2100000000000009</v>
      </c>
      <c r="C15" t="s">
        <v>6</v>
      </c>
    </row>
    <row r="16" spans="1:4" x14ac:dyDescent="0.2">
      <c r="A16" t="s">
        <v>8</v>
      </c>
      <c r="B16">
        <f>(B6-B15)/B2</f>
        <v>1.612522614646422E-3</v>
      </c>
      <c r="C16" t="s">
        <v>9</v>
      </c>
      <c r="D16" t="s">
        <v>16</v>
      </c>
    </row>
    <row r="17" spans="1:4" x14ac:dyDescent="0.2">
      <c r="A17" t="s">
        <v>17</v>
      </c>
      <c r="B17">
        <f>B14/(1-SQRT((B16/B11)))</f>
        <v>-3.0555070757208349</v>
      </c>
      <c r="C17" t="s">
        <v>6</v>
      </c>
      <c r="D17" t="s">
        <v>19</v>
      </c>
    </row>
    <row r="19" spans="1:4" x14ac:dyDescent="0.2">
      <c r="A19" t="s">
        <v>23</v>
      </c>
    </row>
    <row r="20" spans="1:4" x14ac:dyDescent="0.2">
      <c r="A20" t="s">
        <v>5</v>
      </c>
      <c r="B20">
        <v>6.09</v>
      </c>
      <c r="C20" t="s">
        <v>6</v>
      </c>
    </row>
    <row r="21" spans="1:4" x14ac:dyDescent="0.2">
      <c r="A21" t="s">
        <v>8</v>
      </c>
      <c r="B21">
        <f>(B6-B20)/B2</f>
        <v>7.747974514276724E-3</v>
      </c>
      <c r="C21" t="s">
        <v>9</v>
      </c>
    </row>
    <row r="22" spans="1:4" x14ac:dyDescent="0.2">
      <c r="A22" t="s">
        <v>18</v>
      </c>
      <c r="B22">
        <f>B21</f>
        <v>7.747974514276724E-3</v>
      </c>
      <c r="C22" t="s">
        <v>9</v>
      </c>
    </row>
    <row r="24" spans="1:4" x14ac:dyDescent="0.2">
      <c r="A24" t="s">
        <v>24</v>
      </c>
    </row>
    <row r="25" spans="1:4" x14ac:dyDescent="0.2">
      <c r="A25" t="s">
        <v>13</v>
      </c>
      <c r="B25" s="1">
        <v>-1.64</v>
      </c>
      <c r="C25" t="s">
        <v>6</v>
      </c>
    </row>
    <row r="26" spans="1:4" x14ac:dyDescent="0.2">
      <c r="A26" t="s">
        <v>5</v>
      </c>
      <c r="B26">
        <v>9.19</v>
      </c>
      <c r="C26" t="s">
        <v>6</v>
      </c>
    </row>
    <row r="27" spans="1:4" x14ac:dyDescent="0.2">
      <c r="A27" t="s">
        <v>8</v>
      </c>
      <c r="B27">
        <f>(B6-B26)/B2</f>
        <v>1.6518524345158496E-3</v>
      </c>
      <c r="C27" t="s">
        <v>9</v>
      </c>
    </row>
    <row r="28" spans="1:4" x14ac:dyDescent="0.2">
      <c r="A28" t="s">
        <v>17</v>
      </c>
      <c r="B28">
        <f>B25/(1-SQRT((B27/B22)))</f>
        <v>-3.0468187725252949</v>
      </c>
      <c r="C28" t="s">
        <v>6</v>
      </c>
    </row>
    <row r="30" spans="1:4" x14ac:dyDescent="0.2">
      <c r="A30" t="s">
        <v>25</v>
      </c>
    </row>
    <row r="31" spans="1:4" x14ac:dyDescent="0.2">
      <c r="A31" t="s">
        <v>67</v>
      </c>
      <c r="B31">
        <v>19.98</v>
      </c>
      <c r="C31" t="s">
        <v>6</v>
      </c>
    </row>
    <row r="32" spans="1:4" x14ac:dyDescent="0.2">
      <c r="A32" t="s">
        <v>26</v>
      </c>
      <c r="B32">
        <v>1021500</v>
      </c>
      <c r="C32" t="s">
        <v>1</v>
      </c>
    </row>
    <row r="33" spans="1:4" x14ac:dyDescent="0.2">
      <c r="A33" t="s">
        <v>27</v>
      </c>
      <c r="B33">
        <v>1016400</v>
      </c>
      <c r="C33" t="s">
        <v>1</v>
      </c>
    </row>
    <row r="34" spans="1:4" x14ac:dyDescent="0.2">
      <c r="A34" t="s">
        <v>28</v>
      </c>
      <c r="B34">
        <f>B2</f>
        <v>508.52</v>
      </c>
      <c r="C34" t="s">
        <v>1</v>
      </c>
    </row>
    <row r="35" spans="1:4" x14ac:dyDescent="0.2">
      <c r="A35" t="s">
        <v>30</v>
      </c>
      <c r="B35">
        <v>507.45</v>
      </c>
      <c r="C35" t="s">
        <v>1</v>
      </c>
    </row>
    <row r="36" spans="1:4" x14ac:dyDescent="0.2">
      <c r="A36" t="s">
        <v>32</v>
      </c>
      <c r="B36">
        <v>2224.3000000000002</v>
      </c>
      <c r="C36" t="s">
        <v>1</v>
      </c>
      <c r="D36" t="s">
        <v>31</v>
      </c>
    </row>
    <row r="37" spans="1:4" x14ac:dyDescent="0.2">
      <c r="A37" t="s">
        <v>33</v>
      </c>
      <c r="B37">
        <v>2213.4</v>
      </c>
      <c r="C37" t="s">
        <v>1</v>
      </c>
      <c r="D37" t="s">
        <v>31</v>
      </c>
    </row>
    <row r="38" spans="1:4" x14ac:dyDescent="0.2">
      <c r="A38" t="s">
        <v>29</v>
      </c>
      <c r="B38">
        <v>9889.1</v>
      </c>
      <c r="C38" t="s">
        <v>1</v>
      </c>
    </row>
    <row r="40" spans="1:4" x14ac:dyDescent="0.2">
      <c r="A40" t="s">
        <v>37</v>
      </c>
    </row>
    <row r="41" spans="1:4" x14ac:dyDescent="0.2">
      <c r="A41" t="s">
        <v>34</v>
      </c>
    </row>
    <row r="42" spans="1:4" x14ac:dyDescent="0.2">
      <c r="A42" t="s">
        <v>15</v>
      </c>
      <c r="B42">
        <v>2.4494510238180001E-3</v>
      </c>
      <c r="C42" t="s">
        <v>9</v>
      </c>
      <c r="D42" t="s">
        <v>65</v>
      </c>
    </row>
    <row r="43" spans="1:4" x14ac:dyDescent="0.2">
      <c r="A43" t="s">
        <v>35</v>
      </c>
      <c r="B43">
        <v>-1.245594834632</v>
      </c>
      <c r="C43" t="s">
        <v>6</v>
      </c>
    </row>
    <row r="44" spans="1:4" x14ac:dyDescent="0.2">
      <c r="A44" t="s">
        <v>14</v>
      </c>
      <c r="B44">
        <f>B31-(B42*B36)</f>
        <v>14.531686087721623</v>
      </c>
      <c r="C44" t="s">
        <v>6</v>
      </c>
      <c r="D44" t="s">
        <v>38</v>
      </c>
    </row>
    <row r="45" spans="1:4" x14ac:dyDescent="0.2">
      <c r="A45" t="s">
        <v>36</v>
      </c>
    </row>
    <row r="46" spans="1:4" x14ac:dyDescent="0.2">
      <c r="A46" t="s">
        <v>15</v>
      </c>
      <c r="B46">
        <v>2.5557612922109999E-3</v>
      </c>
      <c r="C46" t="s">
        <v>9</v>
      </c>
      <c r="D46" t="s">
        <v>66</v>
      </c>
    </row>
    <row r="47" spans="1:4" x14ac:dyDescent="0.2">
      <c r="A47" t="s">
        <v>35</v>
      </c>
      <c r="B47">
        <v>-1.2969210677330001</v>
      </c>
      <c r="C47" t="s">
        <v>6</v>
      </c>
    </row>
    <row r="48" spans="1:4" x14ac:dyDescent="0.2">
      <c r="A48" t="s">
        <v>14</v>
      </c>
      <c r="B48">
        <f>B31-(B46*B37)</f>
        <v>14.323077955820173</v>
      </c>
      <c r="C48" t="s">
        <v>6</v>
      </c>
    </row>
    <row r="50" spans="1:4" x14ac:dyDescent="0.2">
      <c r="A50" t="s">
        <v>39</v>
      </c>
    </row>
    <row r="51" spans="1:4" x14ac:dyDescent="0.2">
      <c r="A51" t="s">
        <v>34</v>
      </c>
    </row>
    <row r="52" spans="1:4" x14ac:dyDescent="0.2">
      <c r="A52" t="s">
        <v>40</v>
      </c>
      <c r="B52">
        <v>5.0000000000000001E-4</v>
      </c>
      <c r="C52" t="s">
        <v>6</v>
      </c>
    </row>
    <row r="53" spans="1:4" x14ac:dyDescent="0.2">
      <c r="A53" t="s">
        <v>41</v>
      </c>
      <c r="B53">
        <v>1.2749999999999999</v>
      </c>
      <c r="C53" t="s">
        <v>6</v>
      </c>
    </row>
    <row r="54" spans="1:4" x14ac:dyDescent="0.2">
      <c r="A54" t="s">
        <v>14</v>
      </c>
      <c r="B54" s="2">
        <v>14.4</v>
      </c>
      <c r="C54" t="s">
        <v>6</v>
      </c>
    </row>
    <row r="55" spans="1:4" x14ac:dyDescent="0.2">
      <c r="A55" t="s">
        <v>35</v>
      </c>
      <c r="B55">
        <v>-1.228</v>
      </c>
      <c r="C55" t="s">
        <v>6</v>
      </c>
    </row>
    <row r="56" spans="1:4" x14ac:dyDescent="0.2">
      <c r="A56" t="s">
        <v>15</v>
      </c>
      <c r="B56">
        <f>B53/B34</f>
        <v>2.5072760166758436E-3</v>
      </c>
      <c r="C56" t="s">
        <v>9</v>
      </c>
      <c r="D56" t="s">
        <v>42</v>
      </c>
    </row>
    <row r="57" spans="1:4" x14ac:dyDescent="0.2">
      <c r="A57" t="s">
        <v>36</v>
      </c>
    </row>
    <row r="58" spans="1:4" x14ac:dyDescent="0.2">
      <c r="A58" t="s">
        <v>40</v>
      </c>
      <c r="B58">
        <v>5.9999999999999995E-4</v>
      </c>
      <c r="C58" t="s">
        <v>6</v>
      </c>
    </row>
    <row r="59" spans="1:4" x14ac:dyDescent="0.2">
      <c r="A59" t="s">
        <v>41</v>
      </c>
      <c r="B59">
        <v>1.4590000000000001</v>
      </c>
      <c r="C59" t="s">
        <v>6</v>
      </c>
    </row>
    <row r="60" spans="1:4" x14ac:dyDescent="0.2">
      <c r="A60" t="s">
        <v>14</v>
      </c>
      <c r="B60">
        <v>13.62</v>
      </c>
      <c r="C60" t="s">
        <v>6</v>
      </c>
    </row>
    <row r="61" spans="1:4" x14ac:dyDescent="0.2">
      <c r="A61" t="s">
        <v>35</v>
      </c>
      <c r="B61">
        <v>-1.2330000000000001</v>
      </c>
      <c r="C61" t="s">
        <v>6</v>
      </c>
    </row>
    <row r="62" spans="1:4" x14ac:dyDescent="0.2">
      <c r="A62" t="s">
        <v>15</v>
      </c>
      <c r="B62">
        <f>B59/B35</f>
        <v>2.8751601142969754E-3</v>
      </c>
      <c r="C62" t="s">
        <v>9</v>
      </c>
      <c r="D62" t="s">
        <v>16</v>
      </c>
    </row>
    <row r="64" spans="1:4" x14ac:dyDescent="0.2">
      <c r="A64" t="s">
        <v>68</v>
      </c>
    </row>
    <row r="65" spans="1:4" x14ac:dyDescent="0.2">
      <c r="A65" t="s">
        <v>34</v>
      </c>
    </row>
    <row r="66" spans="1:4" x14ac:dyDescent="0.2">
      <c r="A66" t="s">
        <v>15</v>
      </c>
      <c r="B66">
        <f>100*((B56-B42)/B42)</f>
        <v>2.3607327640178992</v>
      </c>
    </row>
    <row r="67" spans="1:4" x14ac:dyDescent="0.2">
      <c r="A67" t="s">
        <v>35</v>
      </c>
      <c r="B67">
        <f>100*((B55-B43)/B43)</f>
        <v>-1.4125648359161915</v>
      </c>
    </row>
    <row r="68" spans="1:4" x14ac:dyDescent="0.2">
      <c r="A68" t="s">
        <v>14</v>
      </c>
      <c r="B68">
        <f>100*((B54-B44)/B44)</f>
        <v>-0.90619964487733307</v>
      </c>
    </row>
    <row r="69" spans="1:4" x14ac:dyDescent="0.2">
      <c r="A69" t="s">
        <v>36</v>
      </c>
    </row>
    <row r="70" spans="1:4" x14ac:dyDescent="0.2">
      <c r="A70" t="s">
        <v>15</v>
      </c>
      <c r="B70">
        <f>100*((B62-B46)/B46)</f>
        <v>12.497208681396932</v>
      </c>
    </row>
    <row r="71" spans="1:4" x14ac:dyDescent="0.2">
      <c r="A71" t="s">
        <v>35</v>
      </c>
      <c r="B71">
        <f>100*((B61-B47)/B47)</f>
        <v>-4.9286783385154758</v>
      </c>
    </row>
    <row r="72" spans="1:4" x14ac:dyDescent="0.2">
      <c r="A72" t="s">
        <v>14</v>
      </c>
      <c r="B72">
        <f>100*((B60-B48)/B48)</f>
        <v>-4.9087071786443666</v>
      </c>
    </row>
    <row r="74" spans="1:4" x14ac:dyDescent="0.2">
      <c r="A74" t="s">
        <v>43</v>
      </c>
    </row>
    <row r="75" spans="1:4" x14ac:dyDescent="0.2">
      <c r="A75" t="s">
        <v>4</v>
      </c>
    </row>
    <row r="76" spans="1:4" x14ac:dyDescent="0.2">
      <c r="A76" t="s">
        <v>46</v>
      </c>
      <c r="B76">
        <f>((2*B22)/ABS(B28)*(1-B61/B28))</f>
        <v>3.0277417263339886E-3</v>
      </c>
      <c r="C76" t="s">
        <v>52</v>
      </c>
      <c r="D76" t="s">
        <v>44</v>
      </c>
    </row>
    <row r="77" spans="1:4" x14ac:dyDescent="0.2">
      <c r="A77" t="s">
        <v>45</v>
      </c>
      <c r="B77">
        <f>B76*(1/(1/B37+1/B38))</f>
        <v>5.4759617879294114</v>
      </c>
      <c r="C77" s="3" t="s">
        <v>53</v>
      </c>
      <c r="D77" t="s">
        <v>50</v>
      </c>
    </row>
    <row r="78" spans="1:4" x14ac:dyDescent="0.2">
      <c r="A78" t="s">
        <v>47</v>
      </c>
      <c r="B78">
        <f>((2*B11)/ABS(B17)*(1-B55/B17))</f>
        <v>2.7330198751968353E-3</v>
      </c>
      <c r="C78" t="s">
        <v>52</v>
      </c>
      <c r="D78" t="s">
        <v>48</v>
      </c>
    </row>
    <row r="79" spans="1:4" x14ac:dyDescent="0.2">
      <c r="A79" t="s">
        <v>49</v>
      </c>
      <c r="B79">
        <f>B78*(1/(1/B36+1/B33))</f>
        <v>6.0657816906371522</v>
      </c>
      <c r="C79" s="3" t="s">
        <v>53</v>
      </c>
      <c r="D79" t="s">
        <v>51</v>
      </c>
    </row>
    <row r="80" spans="1:4" x14ac:dyDescent="0.2">
      <c r="A80" t="s">
        <v>54</v>
      </c>
      <c r="B80">
        <f>B77*B79</f>
        <v>33.215988751850908</v>
      </c>
      <c r="D80" t="s">
        <v>55</v>
      </c>
    </row>
    <row r="82" spans="1:4" x14ac:dyDescent="0.2">
      <c r="A82" t="s">
        <v>12</v>
      </c>
    </row>
    <row r="83" spans="1:4" x14ac:dyDescent="0.2">
      <c r="A83" t="s">
        <v>60</v>
      </c>
      <c r="B83">
        <v>10</v>
      </c>
      <c r="C83" t="s">
        <v>61</v>
      </c>
    </row>
    <row r="84" spans="1:4" x14ac:dyDescent="0.2">
      <c r="A84" t="s">
        <v>56</v>
      </c>
      <c r="B84">
        <v>0.01</v>
      </c>
      <c r="C84" t="s">
        <v>6</v>
      </c>
    </row>
    <row r="85" spans="1:4" x14ac:dyDescent="0.2">
      <c r="A85" t="s">
        <v>57</v>
      </c>
      <c r="B85">
        <v>0.35599999999999998</v>
      </c>
      <c r="C85" t="s">
        <v>6</v>
      </c>
    </row>
    <row r="86" spans="1:4" x14ac:dyDescent="0.2">
      <c r="A86" t="s">
        <v>54</v>
      </c>
      <c r="B86" s="4">
        <f>B85/B84</f>
        <v>35.599999999999994</v>
      </c>
      <c r="C86" s="3" t="s">
        <v>53</v>
      </c>
      <c r="D86" t="s">
        <v>58</v>
      </c>
    </row>
    <row r="87" spans="1:4" x14ac:dyDescent="0.2">
      <c r="A87" t="s">
        <v>59</v>
      </c>
      <c r="B87">
        <v>6.3100000000000003E-2</v>
      </c>
      <c r="C87" t="s">
        <v>6</v>
      </c>
    </row>
    <row r="88" spans="1:4" x14ac:dyDescent="0.2">
      <c r="A88" t="s">
        <v>49</v>
      </c>
      <c r="B88">
        <f>B87/B84</f>
        <v>6.3100000000000005</v>
      </c>
      <c r="C88" s="3" t="s">
        <v>53</v>
      </c>
      <c r="D88" t="s">
        <v>62</v>
      </c>
    </row>
    <row r="89" spans="1:4" x14ac:dyDescent="0.2">
      <c r="A89" t="s">
        <v>45</v>
      </c>
      <c r="B89">
        <f>B85/B87</f>
        <v>5.6418383518225035</v>
      </c>
      <c r="C89" s="3" t="s">
        <v>53</v>
      </c>
      <c r="D89" t="s">
        <v>63</v>
      </c>
    </row>
    <row r="90" spans="1:4" x14ac:dyDescent="0.2">
      <c r="A90" t="s">
        <v>54</v>
      </c>
      <c r="B90" s="4">
        <f>B88*B89</f>
        <v>35.6</v>
      </c>
      <c r="C90" s="3" t="s">
        <v>53</v>
      </c>
      <c r="D90" t="s">
        <v>64</v>
      </c>
    </row>
    <row r="92" spans="1:4" x14ac:dyDescent="0.2">
      <c r="A92" t="s">
        <v>69</v>
      </c>
    </row>
    <row r="93" spans="1:4" x14ac:dyDescent="0.2">
      <c r="A93" t="s">
        <v>49</v>
      </c>
      <c r="B93">
        <f>100*((B88-B79)/B79)</f>
        <v>4.02616384529321</v>
      </c>
    </row>
    <row r="94" spans="1:4" x14ac:dyDescent="0.2">
      <c r="A94" t="s">
        <v>45</v>
      </c>
      <c r="B94">
        <f>100*((B89-B77)/B77)</f>
        <v>3.0291767970100083</v>
      </c>
    </row>
    <row r="95" spans="1:4" x14ac:dyDescent="0.2">
      <c r="A95" t="s">
        <v>54</v>
      </c>
      <c r="B95">
        <f>100*((B86-B80)/B80)</f>
        <v>7.1773002633144287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Sølve Kjelseth</dc:creator>
  <cp:lastModifiedBy>Sølve Kjelseth</cp:lastModifiedBy>
  <dcterms:created xsi:type="dcterms:W3CDTF">2025-09-25T08:40:53Z</dcterms:created>
  <dcterms:modified xsi:type="dcterms:W3CDTF">2025-10-02T06:55:49Z</dcterms:modified>
</cp:coreProperties>
</file>